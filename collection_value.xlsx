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lection Val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;($#,##0.00);&quot;-&quot;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0000FF"/>
      <sz val="10"/>
    </font>
    <font>
      <name val="Arial"/>
      <color rgb="00000000"/>
      <sz val="10"/>
    </font>
    <font>
      <name val="Arial"/>
      <b val="1"/>
      <sz val="10"/>
    </font>
    <font>
      <color rgb="000000FF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DDEEFF"/>
      </patternFill>
    </fill>
  </fills>
  <borders count="6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/>
      <right/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/>
      <diagonal/>
    </border>
    <border>
      <left/>
      <right/>
      <top style="thin">
        <color rgb="00AAAAAA"/>
      </top>
      <bottom style="thin">
        <color rgb="00AAAAAA"/>
      </bottom>
      <diagonal/>
    </border>
    <border>
      <left/>
      <right style="thin">
        <color rgb="00AAAAAA"/>
      </right>
      <top style="thin">
        <color rgb="00AAAAAA"/>
      </top>
      <bottom style="thin">
        <color rgb="00AAAAAA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2" fontId="3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/>
    </xf>
    <xf numFmtId="0" fontId="2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2" fontId="3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vertical="center" wrapText="1"/>
    </xf>
    <xf numFmtId="0" fontId="1" fillId="2" borderId="1" applyAlignment="1" pivotButton="0" quotePrefix="0" xfId="0">
      <alignment vertical="center"/>
    </xf>
    <xf numFmtId="0" fontId="0" fillId="2" borderId="1" pivotButton="0" quotePrefix="0" xfId="0"/>
    <xf numFmtId="164" fontId="1" fillId="2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4" borderId="1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6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6" customWidth="1" min="3" max="3"/>
    <col width="22" customWidth="1" min="4" max="4"/>
    <col width="12" customWidth="1" min="5" max="5"/>
    <col width="18" customWidth="1" min="6" max="6"/>
    <col width="20" customWidth="1" min="7" max="7"/>
    <col width="16" customWidth="1" min="8" max="8"/>
    <col width="30" customWidth="1" min="9" max="9"/>
  </cols>
  <sheetData>
    <row r="1" ht="22" customHeight="1">
      <c r="A1" s="1" t="inlineStr">
        <is>
          <t>Item</t>
        </is>
      </c>
      <c r="B1" s="1" t="inlineStr">
        <is>
          <t>Faction</t>
        </is>
      </c>
      <c r="C1" s="1" t="inlineStr">
        <is>
          <t>Qty</t>
        </is>
      </c>
      <c r="D1" s="1" t="inlineStr">
        <is>
          <t>Paint Status</t>
        </is>
      </c>
      <c r="E1" s="1" t="inlineStr">
        <is>
          <t>Retail $</t>
        </is>
      </c>
      <c r="F1" s="1" t="inlineStr">
        <is>
          <t>eBay Avg Sold $</t>
        </is>
      </c>
      <c r="G1" s="1" t="inlineStr">
        <is>
          <t>Condition Modifier</t>
        </is>
      </c>
      <c r="H1" s="1" t="inlineStr">
        <is>
          <t>Est. Value $</t>
        </is>
      </c>
      <c r="I1" s="1" t="inlineStr">
        <is>
          <t>Notes</t>
        </is>
      </c>
    </row>
    <row r="2" ht="18" customHeight="1">
      <c r="A2" s="2" t="inlineStr">
        <is>
          <t>Jump Captain</t>
        </is>
      </c>
      <c r="B2" s="2" t="inlineStr">
        <is>
          <t>Space Marines (40k)</t>
        </is>
      </c>
      <c r="C2" s="3" t="n">
        <v>1</v>
      </c>
      <c r="D2" s="2" t="inlineStr">
        <is>
          <t>Painted</t>
        </is>
      </c>
      <c r="E2" s="22" t="n">
        <v>43.5</v>
      </c>
      <c r="F2" s="22" t="n">
        <v>26.1</v>
      </c>
      <c r="G2" s="5" t="n">
        <v>1</v>
      </c>
      <c r="H2" s="6">
        <f>IF(F2="","",F2*G2)</f>
        <v/>
      </c>
      <c r="I2" s="7" t="n"/>
    </row>
    <row r="3" ht="18" customHeight="1">
      <c r="A3" s="8" t="inlineStr">
        <is>
          <t>Sternguard Veterans</t>
        </is>
      </c>
      <c r="B3" s="8" t="inlineStr">
        <is>
          <t>Space Marines (40k)</t>
        </is>
      </c>
      <c r="C3" s="9" t="n">
        <v>1</v>
      </c>
      <c r="D3" s="8" t="inlineStr">
        <is>
          <t>Painted</t>
        </is>
      </c>
      <c r="E3" s="23" t="n">
        <v>65</v>
      </c>
      <c r="F3" s="23" t="n">
        <v>39</v>
      </c>
      <c r="G3" s="11" t="n">
        <v>1</v>
      </c>
      <c r="H3" s="12">
        <f>IF(F3="","",F3*G3)</f>
        <v/>
      </c>
      <c r="I3" s="13" t="n"/>
    </row>
    <row r="4" ht="18" customHeight="1">
      <c r="A4" s="2" t="inlineStr">
        <is>
          <t>Tzaangors</t>
        </is>
      </c>
      <c r="B4" s="2" t="inlineStr">
        <is>
          <t>Disciples of Tzeentch</t>
        </is>
      </c>
      <c r="C4" s="3" t="n">
        <v>10</v>
      </c>
      <c r="D4" s="2" t="inlineStr">
        <is>
          <t>Bare plastic</t>
        </is>
      </c>
      <c r="E4" s="22" t="n">
        <v>60</v>
      </c>
      <c r="F4" s="22" t="n">
        <v>360</v>
      </c>
      <c r="G4" s="5" t="n">
        <v>0.8</v>
      </c>
      <c r="H4" s="6">
        <f>IF(F4="","",F4*G4)</f>
        <v/>
      </c>
      <c r="I4" s="7" t="n"/>
    </row>
    <row r="5" ht="18" customHeight="1">
      <c r="A5" s="8" t="inlineStr">
        <is>
          <t>Chaos Bikers</t>
        </is>
      </c>
      <c r="B5" s="8" t="inlineStr">
        <is>
          <t>Heretic Astartes (40k)</t>
        </is>
      </c>
      <c r="C5" s="9" t="n">
        <v>8</v>
      </c>
      <c r="D5" s="8" t="inlineStr">
        <is>
          <t>Painted &amp; magnetized</t>
        </is>
      </c>
      <c r="E5" s="23" t="n">
        <v>48.5</v>
      </c>
      <c r="F5" s="23" t="n">
        <v>232.8</v>
      </c>
      <c r="G5" s="11" t="n">
        <v>1</v>
      </c>
      <c r="H5" s="12">
        <f>IF(F5="","",F5*G5)</f>
        <v/>
      </c>
      <c r="I5" s="13" t="n"/>
    </row>
    <row r="6" ht="18" customHeight="1">
      <c r="A6" s="2" t="inlineStr">
        <is>
          <t>Legionaries</t>
        </is>
      </c>
      <c r="B6" s="2" t="inlineStr">
        <is>
          <t>Heretic Astartes (40k)</t>
        </is>
      </c>
      <c r="C6" s="3" t="n">
        <v>10</v>
      </c>
      <c r="D6" s="2" t="inlineStr">
        <is>
          <t>Partially painted</t>
        </is>
      </c>
      <c r="E6" s="22" t="n">
        <v>69</v>
      </c>
      <c r="F6" s="22" t="n">
        <v>414</v>
      </c>
      <c r="G6" s="5" t="n">
        <v>0.8</v>
      </c>
      <c r="H6" s="6">
        <f>IF(F6="","",F6*G6)</f>
        <v/>
      </c>
      <c r="I6" s="7" t="n"/>
    </row>
    <row r="7" ht="18" customHeight="1">
      <c r="A7" s="8" t="inlineStr">
        <is>
          <t>Varanguard</t>
        </is>
      </c>
      <c r="B7" s="8" t="inlineStr">
        <is>
          <t>Slaves to Darkness</t>
        </is>
      </c>
      <c r="C7" s="9" t="n">
        <v>6</v>
      </c>
      <c r="D7" s="8" t="inlineStr">
        <is>
          <t>3 painted / 3 bare</t>
        </is>
      </c>
      <c r="E7" s="23" t="n">
        <v>110</v>
      </c>
      <c r="F7" s="23" t="n">
        <v>396</v>
      </c>
      <c r="G7" s="11" t="n">
        <v>0.8</v>
      </c>
      <c r="H7" s="12">
        <f>IF(F7="","",F7*G7)</f>
        <v/>
      </c>
      <c r="I7" s="13" t="n"/>
    </row>
    <row r="8" ht="18" customHeight="1">
      <c r="A8" s="2" t="inlineStr">
        <is>
          <t>Eternus</t>
        </is>
      </c>
      <c r="B8" s="2" t="inlineStr">
        <is>
          <t>Slaves to Darkness</t>
        </is>
      </c>
      <c r="C8" s="3" t="n">
        <v>1</v>
      </c>
      <c r="D8" s="2" t="inlineStr">
        <is>
          <t>Painted</t>
        </is>
      </c>
      <c r="E8" s="22" t="n">
        <v>65</v>
      </c>
      <c r="F8" s="22" t="n">
        <v>39</v>
      </c>
      <c r="G8" s="5" t="n">
        <v>1</v>
      </c>
      <c r="H8" s="6">
        <f>IF(F8="","",F8*G8)</f>
        <v/>
      </c>
      <c r="I8" s="7" t="n"/>
    </row>
    <row r="9" ht="18" customHeight="1">
      <c r="A9" s="8" t="inlineStr">
        <is>
          <t>Apothecary Biologus</t>
        </is>
      </c>
      <c r="B9" s="8" t="inlineStr">
        <is>
          <t>Space Marines (40k)</t>
        </is>
      </c>
      <c r="C9" s="9" t="n">
        <v>1</v>
      </c>
      <c r="D9" s="8" t="inlineStr">
        <is>
          <t>Bare plastic</t>
        </is>
      </c>
      <c r="E9" s="23" t="n">
        <v>40</v>
      </c>
      <c r="F9" s="23" t="n">
        <v>24</v>
      </c>
      <c r="G9" s="11" t="n">
        <v>0.8</v>
      </c>
      <c r="H9" s="12">
        <f>IF(F9="","",F9*G9)</f>
        <v/>
      </c>
      <c r="I9" s="13" t="inlineStr">
        <is>
          <t>Not on SM page — may be Biologus Putrifier (Death Guard) or OOP</t>
        </is>
      </c>
    </row>
    <row r="10" ht="18" customHeight="1">
      <c r="A10" s="2" t="inlineStr">
        <is>
          <t>Terminator Librarian</t>
        </is>
      </c>
      <c r="B10" s="2" t="inlineStr">
        <is>
          <t>Space Marines (40k)</t>
        </is>
      </c>
      <c r="C10" s="3" t="n">
        <v>1</v>
      </c>
      <c r="D10" s="2" t="inlineStr">
        <is>
          <t>Bare plastic</t>
        </is>
      </c>
      <c r="E10" s="22" t="n">
        <v>42</v>
      </c>
      <c r="F10" s="22" t="n">
        <v>25.2</v>
      </c>
      <c r="G10" s="5" t="n">
        <v>0.8</v>
      </c>
      <c r="H10" s="6">
        <f>IF(F10="","",F10*G10)</f>
        <v/>
      </c>
      <c r="I10" s="7" t="n"/>
    </row>
    <row r="11" ht="18" customHeight="1">
      <c r="A11" s="8" t="inlineStr">
        <is>
          <t>30k Basilisks</t>
        </is>
      </c>
      <c r="B11" s="8" t="inlineStr">
        <is>
          <t>Horus Heresy</t>
        </is>
      </c>
      <c r="C11" s="9" t="n">
        <v>2</v>
      </c>
      <c r="D11" s="8" t="inlineStr">
        <is>
          <t>Partial build</t>
        </is>
      </c>
      <c r="E11" s="23" t="n">
        <v>69</v>
      </c>
      <c r="F11" s="23" t="n">
        <v>82.8</v>
      </c>
      <c r="G11" s="11" t="n">
        <v>0.8</v>
      </c>
      <c r="H11" s="12">
        <f>IF(F11="","",F11*G11)</f>
        <v/>
      </c>
      <c r="I11" s="13" t="n"/>
    </row>
    <row r="12" ht="18" customHeight="1">
      <c r="A12" s="2" t="inlineStr">
        <is>
          <t>Be'lakor</t>
        </is>
      </c>
      <c r="B12" s="2" t="inlineStr">
        <is>
          <t>Slaves to Darkness</t>
        </is>
      </c>
      <c r="C12" s="3" t="n">
        <v>1</v>
      </c>
      <c r="D12" s="2" t="inlineStr">
        <is>
          <t>Mostly painted</t>
        </is>
      </c>
      <c r="E12" s="22" t="n">
        <v>170</v>
      </c>
      <c r="F12" s="22" t="n">
        <v>102</v>
      </c>
      <c r="G12" s="5" t="n">
        <v>0.8</v>
      </c>
      <c r="H12" s="6">
        <f>IF(F12="","",F12*G12)</f>
        <v/>
      </c>
      <c r="I12" s="7" t="n"/>
    </row>
    <row r="13" ht="18" customHeight="1">
      <c r="A13" s="8" t="inlineStr">
        <is>
          <t>Winged Hive Tyrant</t>
        </is>
      </c>
      <c r="B13" s="8" t="inlineStr">
        <is>
          <t>Tyranids (40k)</t>
        </is>
      </c>
      <c r="C13" s="9" t="n">
        <v>1</v>
      </c>
      <c r="D13" s="8" t="inlineStr">
        <is>
          <t>Painted &amp; magnetized</t>
        </is>
      </c>
      <c r="E13" s="23" t="n">
        <v>65</v>
      </c>
      <c r="F13" s="23" t="n">
        <v>39</v>
      </c>
      <c r="G13" s="11" t="n">
        <v>1</v>
      </c>
      <c r="H13" s="12">
        <f>IF(F13="","",F13*G13)</f>
        <v/>
      </c>
      <c r="I13" s="13" t="n"/>
    </row>
    <row r="14" ht="18" customHeight="1">
      <c r="A14" s="2" t="inlineStr">
        <is>
          <t>Ionus Cryptborn</t>
        </is>
      </c>
      <c r="B14" s="2" t="inlineStr">
        <is>
          <t>Stormcast Eternals</t>
        </is>
      </c>
      <c r="C14" s="3" t="n">
        <v>1</v>
      </c>
      <c r="D14" s="2" t="inlineStr">
        <is>
          <t>Painted</t>
        </is>
      </c>
      <c r="E14" s="22" t="n">
        <v>145</v>
      </c>
      <c r="F14" s="22" t="n">
        <v>87</v>
      </c>
      <c r="G14" s="5" t="n">
        <v>1</v>
      </c>
      <c r="H14" s="6">
        <f>IF(F14="","",F14*G14)</f>
        <v/>
      </c>
      <c r="I14" s="7" t="n"/>
    </row>
    <row r="15" ht="18" customHeight="1">
      <c r="A15" s="8" t="inlineStr">
        <is>
          <t>Khagra's Ravagers</t>
        </is>
      </c>
      <c r="B15" s="8" t="inlineStr">
        <is>
          <t>Slaves to Darkness</t>
        </is>
      </c>
      <c r="C15" s="9" t="n">
        <v>1</v>
      </c>
      <c r="D15" s="8" t="inlineStr">
        <is>
          <t>Bare plastic</t>
        </is>
      </c>
      <c r="E15" s="23" t="n">
        <v>40</v>
      </c>
      <c r="F15" s="23" t="n">
        <v>24</v>
      </c>
      <c r="G15" s="11" t="n">
        <v>0.8</v>
      </c>
      <c r="H15" s="12">
        <f>IF(F15="","",F15*G15)</f>
        <v/>
      </c>
      <c r="I15" s="13" t="inlineStr">
        <is>
          <t>Not listed on GW site — may be OOP; check secondary market</t>
        </is>
      </c>
    </row>
    <row r="16" ht="18" customHeight="1">
      <c r="A16" s="2" t="inlineStr">
        <is>
          <t>Gorechosen of Gromm</t>
        </is>
      </c>
      <c r="B16" s="2" t="inlineStr">
        <is>
          <t>Blades of Khorne</t>
        </is>
      </c>
      <c r="C16" s="3" t="n">
        <v>1</v>
      </c>
      <c r="D16" s="2" t="inlineStr">
        <is>
          <t>Bare plastic</t>
        </is>
      </c>
      <c r="E16" s="22" t="n">
        <v>40</v>
      </c>
      <c r="F16" s="22" t="n">
        <v>24</v>
      </c>
      <c r="G16" s="5" t="n">
        <v>0.8</v>
      </c>
      <c r="H16" s="6">
        <f>IF(F16="","",F16*G16)</f>
        <v/>
      </c>
      <c r="I16" s="7" t="inlineStr">
        <is>
          <t>Not listed on GW site — may be OOP; check secondary market</t>
        </is>
      </c>
    </row>
    <row r="17" ht="18" customHeight="1">
      <c r="A17" s="8" t="inlineStr">
        <is>
          <t>Flamers of Tzeentch</t>
        </is>
      </c>
      <c r="B17" s="8" t="inlineStr">
        <is>
          <t>Disciples of Tzeentch</t>
        </is>
      </c>
      <c r="C17" s="9" t="n">
        <v>3</v>
      </c>
      <c r="D17" s="8" t="inlineStr">
        <is>
          <t>Primed</t>
        </is>
      </c>
      <c r="E17" s="23" t="n">
        <v>39</v>
      </c>
      <c r="F17" s="23" t="n">
        <v>70.2</v>
      </c>
      <c r="G17" s="11" t="n">
        <v>0.8</v>
      </c>
      <c r="H17" s="12">
        <f>IF(F17="","",F17*G17)</f>
        <v/>
      </c>
      <c r="I17" s="13" t="n"/>
    </row>
    <row r="19" ht="22" customHeight="1">
      <c r="A19" s="14" t="inlineStr">
        <is>
          <t>Condition Modifier Guide</t>
        </is>
      </c>
      <c r="B19" s="15" t="n"/>
      <c r="C19" s="15" t="n"/>
      <c r="D19" s="15" t="n"/>
      <c r="E19" s="15" t="n"/>
      <c r="F19" s="15" t="n"/>
      <c r="G19" s="15" t="n"/>
      <c r="H19" s="16" t="n"/>
      <c r="I19" s="15" t="n"/>
    </row>
    <row r="20">
      <c r="A20" t="n">
        <v>1</v>
      </c>
      <c r="B20" t="inlineStr">
        <is>
          <t>Fully painted / showcase</t>
        </is>
      </c>
    </row>
    <row r="21" ht="20" customHeight="1">
      <c r="A21" s="17" t="n">
        <v>0.8</v>
      </c>
      <c r="B21" t="inlineStr">
        <is>
          <t>Everything else (bare, primed, partial, WIP)</t>
        </is>
      </c>
    </row>
    <row r="22" ht="16" customHeight="1">
      <c r="A22" s="18" t="n"/>
      <c r="B22" s="2" t="n"/>
    </row>
    <row r="23" ht="16" customHeight="1">
      <c r="A23" s="21" t="n"/>
      <c r="B23" s="8" t="n"/>
    </row>
    <row r="24" ht="16" customHeight="1">
      <c r="A24" s="18" t="n"/>
      <c r="B24" s="2" t="n"/>
    </row>
    <row r="25" ht="16" customHeight="1">
      <c r="A25" s="21" t="n"/>
      <c r="B25" s="8" t="n"/>
    </row>
    <row r="26" ht="16" customHeight="1">
      <c r="A26" s="18" t="n"/>
      <c r="B26" s="2" t="n"/>
    </row>
    <row r="27" ht="16" customHeight="1">
      <c r="A27" s="21" t="n"/>
      <c r="B27" s="8" t="n"/>
    </row>
    <row r="28" ht="16" customHeight="1">
      <c r="A28" s="18" t="n"/>
      <c r="B28" s="2" t="n"/>
    </row>
    <row r="29" ht="16" customHeight="1">
      <c r="A29" s="21" t="n"/>
      <c r="B29" s="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2026-06-15T19:57:24Z</dcterms:created>
  <dcterms:modified xmlns:dcterms="http://purl.org/dc/terms/" xmlns:xsi="http://www.w3.org/2001/XMLSchema-instance" xsi:type="dcterms:W3CDTF">2026-06-15T20:25:34Z</dcterms:modified>
</cp:coreProperties>
</file>